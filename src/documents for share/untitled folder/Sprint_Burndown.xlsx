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https://fnbcorp-my.sharepoint.com/personal/shahir_fnb-corp_com/Documents/Desktop/"/>
    </mc:Choice>
  </mc:AlternateContent>
  <xr:revisionPtr revIDLastSave="0" documentId="8_{44BCDC61-C972-48CC-8B82-35BD66303CB8}" xr6:coauthVersionLast="47" xr6:coauthVersionMax="47" xr10:uidLastSave="{00000000-0000-0000-0000-000000000000}"/>
  <bookViews>
    <workbookView xWindow="-120" yWindow="-120" windowWidth="29040" windowHeight="17520" firstSheet="1" activeTab="1" xr2:uid="{00000000-000D-0000-FFFF-FFFF00000000}"/>
  </bookViews>
  <sheets>
    <sheet name="Data" sheetId="1" r:id="rId1"/>
    <sheet name="Burndow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8" i="1" l="1"/>
  <c r="G37" i="1"/>
  <c r="G36" i="1"/>
  <c r="F38" i="1"/>
  <c r="F37" i="1"/>
  <c r="F36" i="1"/>
  <c r="H38" i="1"/>
  <c r="H37" i="1"/>
  <c r="H36" i="1"/>
  <c r="E36" i="1"/>
  <c r="E37" i="1" s="1"/>
  <c r="D36" i="1"/>
  <c r="D37" i="1" s="1"/>
  <c r="D38" i="1" l="1"/>
  <c r="E38" i="1"/>
  <c r="H30" i="1"/>
  <c r="H29" i="1"/>
  <c r="H28" i="1"/>
  <c r="H27" i="1"/>
  <c r="E27" i="1"/>
  <c r="G27" i="1" s="1"/>
  <c r="D27" i="1"/>
  <c r="F27" i="1" s="1"/>
  <c r="H18" i="1"/>
  <c r="H17" i="1"/>
  <c r="H16" i="1"/>
  <c r="E16" i="1"/>
  <c r="E17" i="1" s="1"/>
  <c r="G17" i="1" s="1"/>
  <c r="D16" i="1"/>
  <c r="D17" i="1" s="1"/>
  <c r="F17" i="1" s="1"/>
  <c r="H9" i="1"/>
  <c r="H8" i="1"/>
  <c r="H7" i="1"/>
  <c r="H6" i="1"/>
  <c r="H5" i="1"/>
  <c r="H4" i="1"/>
  <c r="H3" i="1"/>
  <c r="E3" i="1"/>
  <c r="E4" i="1" s="1"/>
  <c r="D3" i="1"/>
  <c r="D4" i="1" s="1"/>
  <c r="J36" i="1" l="1"/>
  <c r="I36" i="1"/>
  <c r="I37" i="1"/>
  <c r="J37" i="1"/>
  <c r="D28" i="1"/>
  <c r="E28" i="1"/>
  <c r="G16" i="1"/>
  <c r="F16" i="1"/>
  <c r="J27" i="1"/>
  <c r="I27" i="1"/>
  <c r="F3" i="1"/>
  <c r="D18" i="1"/>
  <c r="F18" i="1" s="1"/>
  <c r="E18" i="1"/>
  <c r="G18" i="1" s="1"/>
  <c r="F4" i="1"/>
  <c r="D5" i="1"/>
  <c r="D6" i="1" s="1"/>
  <c r="D7" i="1" s="1"/>
  <c r="G4" i="1"/>
  <c r="E5" i="1"/>
  <c r="F6" i="1"/>
  <c r="G3" i="1"/>
  <c r="D29" i="1" l="1"/>
  <c r="F28" i="1"/>
  <c r="J38" i="1"/>
  <c r="I38" i="1"/>
  <c r="E29" i="1"/>
  <c r="G29" i="1" s="1"/>
  <c r="I29" i="1" s="1"/>
  <c r="G28" i="1"/>
  <c r="J28" i="1" s="1"/>
  <c r="D30" i="1"/>
  <c r="F30" i="1" s="1"/>
  <c r="F29" i="1"/>
  <c r="F5" i="1"/>
  <c r="J16" i="1"/>
  <c r="I16" i="1"/>
  <c r="J17" i="1"/>
  <c r="I17" i="1"/>
  <c r="J3" i="1"/>
  <c r="I3" i="1"/>
  <c r="D8" i="1"/>
  <c r="E6" i="1"/>
  <c r="G5" i="1"/>
  <c r="I4" i="1"/>
  <c r="J4" i="1"/>
  <c r="I28" i="1" l="1"/>
  <c r="E30" i="1"/>
  <c r="G30" i="1" s="1"/>
  <c r="J30" i="1" s="1"/>
  <c r="J29" i="1"/>
  <c r="I30" i="1"/>
  <c r="J18" i="1"/>
  <c r="I18" i="1"/>
  <c r="J5" i="1"/>
  <c r="I5" i="1"/>
  <c r="G6" i="1"/>
  <c r="E7" i="1"/>
  <c r="D9" i="1"/>
  <c r="E8" i="1" l="1"/>
  <c r="J6" i="1"/>
  <c r="I6" i="1"/>
  <c r="J7" i="1" l="1"/>
  <c r="I7" i="1"/>
  <c r="E9" i="1"/>
  <c r="G9" i="1" s="1"/>
  <c r="G8" i="1"/>
  <c r="I8" i="1" l="1"/>
  <c r="J8" i="1"/>
  <c r="J9" i="1"/>
  <c r="I9" i="1"/>
</calcChain>
</file>

<file path=xl/sharedStrings.xml><?xml version="1.0" encoding="utf-8"?>
<sst xmlns="http://schemas.openxmlformats.org/spreadsheetml/2006/main" count="69" uniqueCount="28">
  <si>
    <t>Mortgage</t>
  </si>
  <si>
    <t>Sprint</t>
  </si>
  <si>
    <t>Planned Stories</t>
  </si>
  <si>
    <t>Actual Completed</t>
  </si>
  <si>
    <t>Cum Planned</t>
  </si>
  <si>
    <t>Cum Actual</t>
  </si>
  <si>
    <t>Planned Remaining</t>
  </si>
  <si>
    <t>Actual Remaining</t>
  </si>
  <si>
    <t>Ideal Remaining</t>
  </si>
  <si>
    <t>Delta vs Ideal</t>
  </si>
  <si>
    <t>Delta vs Plan</t>
  </si>
  <si>
    <t>Scope</t>
  </si>
  <si>
    <t>Sprint 1</t>
  </si>
  <si>
    <t>Sprint 2</t>
  </si>
  <si>
    <t>Sprint 3</t>
  </si>
  <si>
    <t>Sprint 4</t>
  </si>
  <si>
    <t>Sprint 5</t>
  </si>
  <si>
    <t>Sprint 6</t>
  </si>
  <si>
    <t>Sprint 7</t>
  </si>
  <si>
    <t>InBranch</t>
  </si>
  <si>
    <t>Payment Switch</t>
  </si>
  <si>
    <t>Planned Points</t>
  </si>
  <si>
    <t>Prod Support -March19 Release</t>
  </si>
  <si>
    <t>Planned Tickets</t>
  </si>
  <si>
    <t>Sprint Burndown</t>
  </si>
  <si>
    <t>Notes</t>
  </si>
  <si>
    <t>Delta vs Ideal &gt; 0: behind ideal (above line)</t>
  </si>
  <si>
    <t>Delta vs Ideal &lt; 0: ahead of ideal (below line)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</si>
</sst>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Mortgage Discovery and Design - Burndown</a:t>
            </a:r>
          </a:p>
        </c:rich>
      </c:tx>
      <c:layout>
        <c:manualLayout>
          <c:xMode val="edge"/>
          <c:yMode val="edge"/>
          <c:x val="1.7742051319045712E-2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543813522474051E-2"/>
          <c:y val="4.2333333333333334E-2"/>
          <c:w val="0.85025906627530512"/>
          <c:h val="0.80320575119633841"/>
        </c:manualLayout>
      </c:layout>
      <c:lineChart>
        <c:grouping val="standard"/>
        <c:varyColors val="1"/>
        <c:ser>
          <c:idx val="0"/>
          <c:order val="0"/>
          <c:tx>
            <c:strRef>
              <c:f>Data!$F$2</c:f>
              <c:strCache>
                <c:ptCount val="1"/>
                <c:pt idx="0">
                  <c:v>Planned Remaining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Data!$F$3:$F$9</c:f>
              <c:numCache>
                <c:formatCode>General</c:formatCode>
                <c:ptCount val="7"/>
                <c:pt idx="0">
                  <c:v>11</c:v>
                </c:pt>
                <c:pt idx="1">
                  <c:v>7</c:v>
                </c:pt>
                <c:pt idx="2">
                  <c:v>7</c:v>
                </c:pt>
                <c:pt idx="3">
                  <c:v>4</c:v>
                </c:pt>
                <c:pt idx="4">
                  <c:v>5</c:v>
                </c:pt>
                <c:pt idx="5">
                  <c:v>3</c:v>
                </c:pt>
                <c:pt idx="6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31-434E-88D0-1690D827A7C0}"/>
            </c:ext>
          </c:extLst>
        </c:ser>
        <c:ser>
          <c:idx val="1"/>
          <c:order val="1"/>
          <c:tx>
            <c:strRef>
              <c:f>Data!$G$2</c:f>
              <c:strCache>
                <c:ptCount val="1"/>
                <c:pt idx="0">
                  <c:v>Actual Remaining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Data!$G$3:$G$7</c:f>
              <c:numCache>
                <c:formatCode>General</c:formatCode>
                <c:ptCount val="5"/>
                <c:pt idx="0">
                  <c:v>14</c:v>
                </c:pt>
                <c:pt idx="1">
                  <c:v>10</c:v>
                </c:pt>
                <c:pt idx="2">
                  <c:v>10</c:v>
                </c:pt>
                <c:pt idx="3">
                  <c:v>7</c:v>
                </c:pt>
                <c:pt idx="4">
                  <c:v>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31-434E-88D0-1690D827A7C0}"/>
            </c:ext>
          </c:extLst>
        </c:ser>
        <c:ser>
          <c:idx val="2"/>
          <c:order val="2"/>
          <c:tx>
            <c:strRef>
              <c:f>Data!$L$2</c:f>
              <c:strCache>
                <c:ptCount val="1"/>
                <c:pt idx="0">
                  <c:v>Scope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Data!$L$3:$L$9</c:f>
              <c:numCache>
                <c:formatCode>General</c:formatCode>
                <c:ptCount val="7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331-434E-88D0-1690D827A7C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Sprint</a:t>
                </a:r>
              </a:p>
            </c:rich>
          </c:tx>
          <c:layout>
            <c:manualLayout>
              <c:xMode val="edge"/>
              <c:yMode val="edge"/>
              <c:x val="6.923654456407477E-2"/>
              <c:y val="0.8597671252561828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No. of  Stories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2064985315909186"/>
          <c:y val="0.92153251758541144"/>
          <c:w val="0.55870029368181628"/>
          <c:h val="7.0153099219069925E-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Consoleless In-Branch</a:t>
            </a:r>
            <a:r>
              <a:rPr lang="en-US" sz="1400" baseline="0"/>
              <a:t> Discovery &amp; Design - Burndown</a:t>
            </a:r>
            <a:endParaRPr lang="en-US" sz="1400"/>
          </a:p>
        </c:rich>
      </c:tx>
      <c:layout>
        <c:manualLayout>
          <c:xMode val="edge"/>
          <c:yMode val="edge"/>
          <c:x val="0.17974124534303407"/>
          <c:y val="4.084884137207438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526804585098392E-2"/>
          <c:y val="5.2652338171437343E-2"/>
          <c:w val="0.80906343456117413"/>
          <c:h val="0.7361834825793836"/>
        </c:manualLayout>
      </c:layout>
      <c:lineChart>
        <c:grouping val="standard"/>
        <c:varyColors val="1"/>
        <c:ser>
          <c:idx val="1"/>
          <c:order val="1"/>
          <c:tx>
            <c:strRef>
              <c:f>Data!$G$15</c:f>
              <c:strCache>
                <c:ptCount val="1"/>
                <c:pt idx="0">
                  <c:v>Actual Remaining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Data!$G$16:$G$17</c:f>
              <c:numCache>
                <c:formatCode>General</c:formatCode>
                <c:ptCount val="2"/>
                <c:pt idx="0">
                  <c:v>12</c:v>
                </c:pt>
                <c:pt idx="1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E63-43DA-B469-FB15361771F2}"/>
            </c:ext>
          </c:extLst>
        </c:ser>
        <c:ser>
          <c:idx val="2"/>
          <c:order val="2"/>
          <c:tx>
            <c:strRef>
              <c:f>Data!$L$15</c:f>
              <c:strCache>
                <c:ptCount val="1"/>
                <c:pt idx="0">
                  <c:v>Scope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Data!$L$16:$L$18</c:f>
              <c:numCache>
                <c:formatCode>General</c:formatCode>
                <c:ptCount val="3"/>
                <c:pt idx="0">
                  <c:v>13</c:v>
                </c:pt>
                <c:pt idx="1">
                  <c:v>13</c:v>
                </c:pt>
                <c:pt idx="2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63-43DA-B469-FB15361771F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lineChart>
        <c:grouping val="standard"/>
        <c:varyColors val="1"/>
        <c:ser>
          <c:idx val="0"/>
          <c:order val="0"/>
          <c:tx>
            <c:strRef>
              <c:f>Data!$F$15</c:f>
              <c:strCache>
                <c:ptCount val="1"/>
                <c:pt idx="0">
                  <c:v>Planned Remaining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Data!$F$16:$F$18</c:f>
              <c:numCache>
                <c:formatCode>General</c:formatCode>
                <c:ptCount val="3"/>
                <c:pt idx="0">
                  <c:v>12</c:v>
                </c:pt>
                <c:pt idx="1">
                  <c:v>4</c:v>
                </c:pt>
                <c:pt idx="2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E63-43DA-B469-FB1536177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4416271"/>
        <c:axId val="1884418671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Sprint</a:t>
                </a:r>
              </a:p>
            </c:rich>
          </c:tx>
          <c:layout>
            <c:manualLayout>
              <c:xMode val="edge"/>
              <c:yMode val="edge"/>
              <c:x val="0.34958001922763454"/>
              <c:y val="0.815348862642169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No. of  Stories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valAx>
        <c:axId val="188441867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416271"/>
        <c:crosses val="max"/>
        <c:crossBetween val="between"/>
      </c:valAx>
      <c:catAx>
        <c:axId val="1884416271"/>
        <c:scaling>
          <c:orientation val="minMax"/>
        </c:scaling>
        <c:delete val="1"/>
        <c:axPos val="b"/>
        <c:majorTickMark val="out"/>
        <c:minorTickMark val="none"/>
        <c:tickLblPos val="nextTo"/>
        <c:crossAx val="18844186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Switch- Program Burndown</a:t>
            </a:r>
          </a:p>
        </c:rich>
      </c:tx>
      <c:layout>
        <c:manualLayout>
          <c:xMode val="edge"/>
          <c:yMode val="edge"/>
          <c:x val="0.1994823840936232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431484087302781E-2"/>
          <c:y val="4.8274664196387214E-2"/>
          <c:w val="0.80906343456117413"/>
          <c:h val="0.7361834825793836"/>
        </c:manualLayout>
      </c:layout>
      <c:lineChart>
        <c:grouping val="standard"/>
        <c:varyColors val="1"/>
        <c:ser>
          <c:idx val="1"/>
          <c:order val="1"/>
          <c:tx>
            <c:strRef>
              <c:f>Data!$G$26</c:f>
              <c:strCache>
                <c:ptCount val="1"/>
                <c:pt idx="0">
                  <c:v>Actual Remaining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Data!$G$27:$G$28</c:f>
              <c:numCache>
                <c:formatCode>General</c:formatCode>
                <c:ptCount val="2"/>
                <c:pt idx="0">
                  <c:v>86</c:v>
                </c:pt>
                <c:pt idx="1">
                  <c:v>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E63-43DA-B469-FB15361771F2}"/>
            </c:ext>
          </c:extLst>
        </c:ser>
        <c:ser>
          <c:idx val="2"/>
          <c:order val="2"/>
          <c:tx>
            <c:strRef>
              <c:f>Data!$L$26</c:f>
              <c:strCache>
                <c:ptCount val="1"/>
                <c:pt idx="0">
                  <c:v>Scope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Data!$L$27:$L$30</c:f>
              <c:numCache>
                <c:formatCode>General</c:formatCode>
                <c:ptCount val="4"/>
                <c:pt idx="0">
                  <c:v>122</c:v>
                </c:pt>
                <c:pt idx="1">
                  <c:v>122</c:v>
                </c:pt>
                <c:pt idx="2">
                  <c:v>122</c:v>
                </c:pt>
                <c:pt idx="3">
                  <c:v>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63-43DA-B469-FB15361771F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lineChart>
        <c:grouping val="standard"/>
        <c:varyColors val="1"/>
        <c:ser>
          <c:idx val="0"/>
          <c:order val="0"/>
          <c:tx>
            <c:strRef>
              <c:f>Data!$F$26</c:f>
              <c:strCache>
                <c:ptCount val="1"/>
                <c:pt idx="0">
                  <c:v>Planned Remaining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Data!$F$27:$F$30</c:f>
              <c:numCache>
                <c:formatCode>General</c:formatCode>
                <c:ptCount val="4"/>
                <c:pt idx="0">
                  <c:v>86</c:v>
                </c:pt>
                <c:pt idx="1">
                  <c:v>41</c:v>
                </c:pt>
                <c:pt idx="2">
                  <c:v>13</c:v>
                </c:pt>
                <c:pt idx="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E63-43DA-B469-FB1536177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6286287"/>
        <c:axId val="316280527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Sprint</a:t>
                </a:r>
              </a:p>
            </c:rich>
          </c:tx>
          <c:layout>
            <c:manualLayout>
              <c:xMode val="edge"/>
              <c:yMode val="edge"/>
              <c:x val="0.41928851098935827"/>
              <c:y val="0.856198535844784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Points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valAx>
        <c:axId val="31628052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286287"/>
        <c:crosses val="max"/>
        <c:crossBetween val="between"/>
      </c:valAx>
      <c:catAx>
        <c:axId val="316286287"/>
        <c:scaling>
          <c:orientation val="minMax"/>
        </c:scaling>
        <c:delete val="1"/>
        <c:axPos val="b"/>
        <c:majorTickMark val="out"/>
        <c:minorTickMark val="none"/>
        <c:tickLblPos val="nextTo"/>
        <c:crossAx val="3162805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 Support Program Burndown</a:t>
            </a:r>
          </a:p>
        </c:rich>
      </c:tx>
      <c:layout>
        <c:manualLayout>
          <c:xMode val="edge"/>
          <c:yMode val="edge"/>
          <c:x val="0.19948238409362329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8431484087302781E-2"/>
          <c:y val="4.8274664196387214E-2"/>
          <c:w val="0.80906343456117413"/>
          <c:h val="0.7361834825793836"/>
        </c:manualLayout>
      </c:layout>
      <c:lineChart>
        <c:grouping val="standard"/>
        <c:varyColors val="1"/>
        <c:ser>
          <c:idx val="0"/>
          <c:order val="0"/>
          <c:tx>
            <c:strRef>
              <c:f>Data!$F$35</c:f>
              <c:strCache>
                <c:ptCount val="1"/>
                <c:pt idx="0">
                  <c:v>Planned Remaining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Data!$F$36:$F$38</c:f>
              <c:numCache>
                <c:formatCode>General</c:formatCode>
                <c:ptCount val="3"/>
                <c:pt idx="0">
                  <c:v>23</c:v>
                </c:pt>
                <c:pt idx="1">
                  <c:v>21</c:v>
                </c:pt>
                <c:pt idx="2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127-42AA-8606-7C3152FD73D6}"/>
            </c:ext>
          </c:extLst>
        </c:ser>
        <c:ser>
          <c:idx val="2"/>
          <c:order val="2"/>
          <c:tx>
            <c:strRef>
              <c:f>Data!$L$35</c:f>
              <c:strCache>
                <c:ptCount val="1"/>
                <c:pt idx="0">
                  <c:v>Scope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Data!$L$36:$L$38</c:f>
              <c:numCache>
                <c:formatCode>General</c:formatCode>
                <c:ptCount val="3"/>
                <c:pt idx="0">
                  <c:v>27</c:v>
                </c:pt>
                <c:pt idx="1">
                  <c:v>31</c:v>
                </c:pt>
                <c:pt idx="2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27-42AA-8606-7C3152FD7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lineChart>
        <c:grouping val="standard"/>
        <c:varyColors val="1"/>
        <c:ser>
          <c:idx val="1"/>
          <c:order val="1"/>
          <c:tx>
            <c:strRef>
              <c:f>Data!$G$35</c:f>
              <c:strCache>
                <c:ptCount val="1"/>
                <c:pt idx="0">
                  <c:v>Actual Remaining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Data!$G$36:$G$38</c:f>
              <c:numCache>
                <c:formatCode>General</c:formatCode>
                <c:ptCount val="3"/>
                <c:pt idx="0">
                  <c:v>23</c:v>
                </c:pt>
                <c:pt idx="1">
                  <c:v>21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27-42AA-8606-7C3152FD7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678687"/>
        <c:axId val="32672447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Sprint</a:t>
                </a:r>
              </a:p>
            </c:rich>
          </c:tx>
          <c:layout>
            <c:manualLayout>
              <c:xMode val="edge"/>
              <c:yMode val="edge"/>
              <c:x val="0.41928851098935827"/>
              <c:y val="0.8561985358447841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Points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valAx>
        <c:axId val="3267244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78687"/>
        <c:crosses val="max"/>
        <c:crossBetween val="between"/>
      </c:valAx>
      <c:catAx>
        <c:axId val="32678687"/>
        <c:scaling>
          <c:orientation val="minMax"/>
        </c:scaling>
        <c:delete val="1"/>
        <c:axPos val="b"/>
        <c:majorTickMark val="out"/>
        <c:minorTickMark val="none"/>
        <c:tickLblPos val="nextTo"/>
        <c:crossAx val="326724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426719</xdr:colOff>
      <xdr:row>3</xdr:row>
      <xdr:rowOff>30479</xdr:rowOff>
    </xdr:from>
    <xdr:ext cx="6224083" cy="30549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394522</xdr:colOff>
      <xdr:row>21</xdr:row>
      <xdr:rowOff>15762</xdr:rowOff>
    </xdr:from>
    <xdr:ext cx="6377006" cy="3349177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8D43C3-C041-4C63-A687-6F865FDEFE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21</xdr:col>
      <xdr:colOff>11206</xdr:colOff>
      <xdr:row>22</xdr:row>
      <xdr:rowOff>53227</xdr:rowOff>
    </xdr:from>
    <xdr:ext cx="6297706" cy="3278094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D543FE8-4DAF-48EC-973A-C645C11491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21</xdr:col>
      <xdr:colOff>11205</xdr:colOff>
      <xdr:row>2</xdr:row>
      <xdr:rowOff>152027</xdr:rowOff>
    </xdr:from>
    <xdr:ext cx="6297706" cy="3278094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251F340-547E-4703-9CCA-AED79D5C38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zoomScale="80" zoomScaleNormal="80" workbookViewId="0">
      <pane ySplit="2" topLeftCell="A3" activePane="bottomLeft" state="frozen"/>
      <selection pane="bottomLeft" activeCell="G9" sqref="G9"/>
      <selection activeCell="H33" sqref="H33"/>
    </sheetView>
  </sheetViews>
  <sheetFormatPr defaultRowHeight="15"/>
  <cols>
    <col min="1" max="10" width="18" customWidth="1"/>
  </cols>
  <sheetData>
    <row r="1" spans="1:12">
      <c r="A1" t="s">
        <v>0</v>
      </c>
    </row>
    <row r="2" spans="1:12">
      <c r="A2" s="1" t="s">
        <v>1</v>
      </c>
      <c r="B2" s="4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L2" s="2" t="s">
        <v>11</v>
      </c>
    </row>
    <row r="3" spans="1:12">
      <c r="A3" t="s">
        <v>12</v>
      </c>
      <c r="B3">
        <v>12</v>
      </c>
      <c r="C3">
        <v>9</v>
      </c>
      <c r="D3">
        <f>B3</f>
        <v>12</v>
      </c>
      <c r="E3">
        <f>C3</f>
        <v>9</v>
      </c>
      <c r="F3">
        <f t="shared" ref="F3:G9" si="0">$L$3-D3</f>
        <v>11</v>
      </c>
      <c r="G3">
        <f t="shared" si="0"/>
        <v>14</v>
      </c>
      <c r="H3">
        <f>$L$3*(1-1/7)</f>
        <v>19.714285714285715</v>
      </c>
      <c r="I3">
        <f t="shared" ref="I3:I9" si="1">G3-H3</f>
        <v>-5.7142857142857153</v>
      </c>
      <c r="J3">
        <f t="shared" ref="J3:J9" si="2">G3-F3</f>
        <v>3</v>
      </c>
      <c r="L3">
        <v>23</v>
      </c>
    </row>
    <row r="4" spans="1:12">
      <c r="A4" t="s">
        <v>13</v>
      </c>
      <c r="B4">
        <v>4</v>
      </c>
      <c r="C4">
        <v>4</v>
      </c>
      <c r="D4">
        <f t="shared" ref="D4:E9" si="3">D3+B4</f>
        <v>16</v>
      </c>
      <c r="E4">
        <f t="shared" si="3"/>
        <v>13</v>
      </c>
      <c r="F4">
        <f t="shared" si="0"/>
        <v>7</v>
      </c>
      <c r="G4">
        <f t="shared" si="0"/>
        <v>10</v>
      </c>
      <c r="H4">
        <f>$L$3*(1-2/7)</f>
        <v>16.428571428571431</v>
      </c>
      <c r="I4">
        <f t="shared" si="1"/>
        <v>-6.4285714285714306</v>
      </c>
      <c r="J4">
        <f t="shared" si="2"/>
        <v>3</v>
      </c>
      <c r="L4">
        <v>23</v>
      </c>
    </row>
    <row r="5" spans="1:12">
      <c r="A5" t="s">
        <v>14</v>
      </c>
      <c r="B5">
        <v>0</v>
      </c>
      <c r="C5">
        <v>0</v>
      </c>
      <c r="D5">
        <f t="shared" si="3"/>
        <v>16</v>
      </c>
      <c r="E5">
        <f t="shared" si="3"/>
        <v>13</v>
      </c>
      <c r="F5">
        <f t="shared" si="0"/>
        <v>7</v>
      </c>
      <c r="G5">
        <f t="shared" si="0"/>
        <v>10</v>
      </c>
      <c r="H5">
        <f>$L$3*(1-3/7)</f>
        <v>13.142857142857142</v>
      </c>
      <c r="I5">
        <f t="shared" si="1"/>
        <v>-3.1428571428571423</v>
      </c>
      <c r="J5">
        <f t="shared" si="2"/>
        <v>3</v>
      </c>
      <c r="L5">
        <v>23</v>
      </c>
    </row>
    <row r="6" spans="1:12">
      <c r="A6" t="s">
        <v>15</v>
      </c>
      <c r="B6">
        <v>3</v>
      </c>
      <c r="C6">
        <v>3</v>
      </c>
      <c r="D6">
        <f t="shared" si="3"/>
        <v>19</v>
      </c>
      <c r="E6">
        <f t="shared" si="3"/>
        <v>16</v>
      </c>
      <c r="F6">
        <f t="shared" si="0"/>
        <v>4</v>
      </c>
      <c r="G6">
        <f t="shared" si="0"/>
        <v>7</v>
      </c>
      <c r="H6">
        <f>$L$3*(1-4/7)</f>
        <v>9.8571428571428577</v>
      </c>
      <c r="I6">
        <f t="shared" si="1"/>
        <v>-2.8571428571428577</v>
      </c>
      <c r="J6">
        <f t="shared" si="2"/>
        <v>3</v>
      </c>
      <c r="L6">
        <v>23</v>
      </c>
    </row>
    <row r="7" spans="1:12">
      <c r="A7" t="s">
        <v>16</v>
      </c>
      <c r="B7">
        <v>6</v>
      </c>
      <c r="C7">
        <v>3</v>
      </c>
      <c r="D7">
        <f t="shared" si="3"/>
        <v>25</v>
      </c>
      <c r="E7">
        <f t="shared" si="3"/>
        <v>19</v>
      </c>
      <c r="F7">
        <v>5</v>
      </c>
      <c r="G7">
        <v>8</v>
      </c>
      <c r="H7">
        <f>$L$3*(1-5/7)</f>
        <v>6.5714285714285712</v>
      </c>
      <c r="I7">
        <f t="shared" si="1"/>
        <v>1.4285714285714288</v>
      </c>
      <c r="J7">
        <f t="shared" si="2"/>
        <v>3</v>
      </c>
      <c r="L7">
        <v>30</v>
      </c>
    </row>
    <row r="8" spans="1:12">
      <c r="A8" t="s">
        <v>17</v>
      </c>
      <c r="B8">
        <v>2</v>
      </c>
      <c r="C8">
        <v>0</v>
      </c>
      <c r="D8">
        <f t="shared" si="3"/>
        <v>27</v>
      </c>
      <c r="E8">
        <f t="shared" si="3"/>
        <v>19</v>
      </c>
      <c r="F8">
        <v>3</v>
      </c>
      <c r="G8">
        <f t="shared" si="0"/>
        <v>4</v>
      </c>
      <c r="H8">
        <f>$L$3*(1-6/7)</f>
        <v>3.2857142857142869</v>
      </c>
      <c r="I8">
        <f t="shared" si="1"/>
        <v>0.71428571428571308</v>
      </c>
      <c r="J8">
        <f t="shared" si="2"/>
        <v>1</v>
      </c>
      <c r="L8">
        <v>30</v>
      </c>
    </row>
    <row r="9" spans="1:12">
      <c r="A9" t="s">
        <v>18</v>
      </c>
      <c r="B9">
        <v>3</v>
      </c>
      <c r="C9">
        <v>0</v>
      </c>
      <c r="D9">
        <f t="shared" si="3"/>
        <v>30</v>
      </c>
      <c r="E9">
        <f t="shared" si="3"/>
        <v>19</v>
      </c>
      <c r="F9">
        <v>0</v>
      </c>
      <c r="G9">
        <f t="shared" si="0"/>
        <v>4</v>
      </c>
      <c r="H9">
        <f>$L$3*(1-7/7)</f>
        <v>0</v>
      </c>
      <c r="I9">
        <f t="shared" si="1"/>
        <v>4</v>
      </c>
      <c r="J9">
        <f t="shared" si="2"/>
        <v>4</v>
      </c>
      <c r="L9">
        <v>30</v>
      </c>
    </row>
    <row r="14" spans="1:12">
      <c r="A14" t="s">
        <v>19</v>
      </c>
    </row>
    <row r="15" spans="1:12">
      <c r="A15" s="1" t="s">
        <v>1</v>
      </c>
      <c r="B15" s="4" t="s">
        <v>2</v>
      </c>
      <c r="C15" s="1" t="s">
        <v>3</v>
      </c>
      <c r="D15" s="1" t="s">
        <v>4</v>
      </c>
      <c r="E15" s="1" t="s">
        <v>5</v>
      </c>
      <c r="F15" s="1" t="s">
        <v>6</v>
      </c>
      <c r="G15" s="1" t="s">
        <v>7</v>
      </c>
      <c r="H15" s="1" t="s">
        <v>8</v>
      </c>
      <c r="I15" s="1" t="s">
        <v>9</v>
      </c>
      <c r="J15" s="1" t="s">
        <v>10</v>
      </c>
      <c r="L15" s="2" t="s">
        <v>11</v>
      </c>
    </row>
    <row r="16" spans="1:12">
      <c r="A16" t="s">
        <v>12</v>
      </c>
      <c r="B16">
        <v>1</v>
      </c>
      <c r="C16">
        <v>1</v>
      </c>
      <c r="D16">
        <f>B16</f>
        <v>1</v>
      </c>
      <c r="E16">
        <f>C16</f>
        <v>1</v>
      </c>
      <c r="F16">
        <f t="shared" ref="F16:G18" si="4">$L$16-D16</f>
        <v>12</v>
      </c>
      <c r="G16">
        <f t="shared" si="4"/>
        <v>12</v>
      </c>
      <c r="H16">
        <f>$L$3*(1-1/7)</f>
        <v>19.714285714285715</v>
      </c>
      <c r="I16">
        <f t="shared" ref="I16:I18" si="5">G16-H16</f>
        <v>-7.7142857142857153</v>
      </c>
      <c r="J16">
        <f t="shared" ref="J16:J18" si="6">G16-F16</f>
        <v>0</v>
      </c>
      <c r="L16">
        <v>13</v>
      </c>
    </row>
    <row r="17" spans="1:12">
      <c r="A17" t="s">
        <v>13</v>
      </c>
      <c r="B17">
        <v>8</v>
      </c>
      <c r="C17">
        <v>2</v>
      </c>
      <c r="D17">
        <f t="shared" ref="D17:D18" si="7">D16+B17</f>
        <v>9</v>
      </c>
      <c r="E17">
        <f t="shared" ref="E17:E18" si="8">E16+C17</f>
        <v>3</v>
      </c>
      <c r="F17">
        <f t="shared" si="4"/>
        <v>4</v>
      </c>
      <c r="G17">
        <f t="shared" si="4"/>
        <v>10</v>
      </c>
      <c r="H17">
        <f>$L$3*(1-2/7)</f>
        <v>16.428571428571431</v>
      </c>
      <c r="I17">
        <f t="shared" si="5"/>
        <v>-6.4285714285714306</v>
      </c>
      <c r="J17">
        <f t="shared" si="6"/>
        <v>6</v>
      </c>
      <c r="L17">
        <v>13</v>
      </c>
    </row>
    <row r="18" spans="1:12">
      <c r="A18" t="s">
        <v>14</v>
      </c>
      <c r="B18">
        <v>4</v>
      </c>
      <c r="C18">
        <v>0</v>
      </c>
      <c r="D18">
        <f t="shared" si="7"/>
        <v>13</v>
      </c>
      <c r="E18">
        <f t="shared" si="8"/>
        <v>3</v>
      </c>
      <c r="F18">
        <f t="shared" si="4"/>
        <v>0</v>
      </c>
      <c r="G18">
        <f t="shared" si="4"/>
        <v>10</v>
      </c>
      <c r="H18">
        <f>$L$3*(1-3/7)</f>
        <v>13.142857142857142</v>
      </c>
      <c r="I18">
        <f t="shared" si="5"/>
        <v>-3.1428571428571423</v>
      </c>
      <c r="J18">
        <f t="shared" si="6"/>
        <v>10</v>
      </c>
      <c r="L18">
        <v>13</v>
      </c>
    </row>
    <row r="25" spans="1:12">
      <c r="A25" t="s">
        <v>20</v>
      </c>
    </row>
    <row r="26" spans="1:12">
      <c r="A26" s="1" t="s">
        <v>1</v>
      </c>
      <c r="B26" s="1" t="s">
        <v>21</v>
      </c>
      <c r="C26" s="1" t="s">
        <v>3</v>
      </c>
      <c r="D26" s="1" t="s">
        <v>4</v>
      </c>
      <c r="E26" s="1" t="s">
        <v>5</v>
      </c>
      <c r="F26" s="1" t="s">
        <v>6</v>
      </c>
      <c r="G26" s="1" t="s">
        <v>7</v>
      </c>
      <c r="H26" s="1" t="s">
        <v>8</v>
      </c>
      <c r="I26" s="1" t="s">
        <v>9</v>
      </c>
      <c r="J26" s="1" t="s">
        <v>10</v>
      </c>
      <c r="L26" s="2" t="s">
        <v>11</v>
      </c>
    </row>
    <row r="27" spans="1:12">
      <c r="A27" t="s">
        <v>12</v>
      </c>
      <c r="B27">
        <v>36</v>
      </c>
      <c r="C27">
        <v>36</v>
      </c>
      <c r="D27">
        <f>B27</f>
        <v>36</v>
      </c>
      <c r="E27">
        <f>C27</f>
        <v>36</v>
      </c>
      <c r="F27">
        <f t="shared" ref="F27:G30" si="9">$L$27-D27</f>
        <v>86</v>
      </c>
      <c r="G27">
        <f t="shared" si="9"/>
        <v>86</v>
      </c>
      <c r="H27">
        <f>$L$3*(1-1/7)</f>
        <v>19.714285714285715</v>
      </c>
      <c r="I27">
        <f t="shared" ref="I27:I30" si="10">G27-H27</f>
        <v>66.285714285714278</v>
      </c>
      <c r="J27">
        <f t="shared" ref="J27:J30" si="11">G27-F27</f>
        <v>0</v>
      </c>
      <c r="L27">
        <v>122</v>
      </c>
    </row>
    <row r="28" spans="1:12">
      <c r="A28" t="s">
        <v>13</v>
      </c>
      <c r="B28">
        <v>45</v>
      </c>
      <c r="C28">
        <v>37</v>
      </c>
      <c r="D28">
        <f t="shared" ref="D28:D30" si="12">D27+B28</f>
        <v>81</v>
      </c>
      <c r="E28">
        <f t="shared" ref="E28:E30" si="13">E27+C28</f>
        <v>73</v>
      </c>
      <c r="F28">
        <f t="shared" si="9"/>
        <v>41</v>
      </c>
      <c r="G28">
        <f t="shared" si="9"/>
        <v>49</v>
      </c>
      <c r="H28">
        <f>$L$3*(1-2/7)</f>
        <v>16.428571428571431</v>
      </c>
      <c r="I28">
        <f t="shared" si="10"/>
        <v>32.571428571428569</v>
      </c>
      <c r="J28">
        <f t="shared" si="11"/>
        <v>8</v>
      </c>
      <c r="L28">
        <v>122</v>
      </c>
    </row>
    <row r="29" spans="1:12">
      <c r="A29" t="s">
        <v>14</v>
      </c>
      <c r="B29">
        <v>28</v>
      </c>
      <c r="C29">
        <v>0</v>
      </c>
      <c r="D29">
        <f t="shared" si="12"/>
        <v>109</v>
      </c>
      <c r="E29">
        <f t="shared" si="13"/>
        <v>73</v>
      </c>
      <c r="F29">
        <f t="shared" si="9"/>
        <v>13</v>
      </c>
      <c r="G29">
        <f t="shared" si="9"/>
        <v>49</v>
      </c>
      <c r="H29">
        <f>$L$3*(1-3/7)</f>
        <v>13.142857142857142</v>
      </c>
      <c r="I29">
        <f t="shared" si="10"/>
        <v>35.857142857142861</v>
      </c>
      <c r="J29">
        <f t="shared" si="11"/>
        <v>36</v>
      </c>
      <c r="L29">
        <v>122</v>
      </c>
    </row>
    <row r="30" spans="1:12">
      <c r="A30" t="s">
        <v>15</v>
      </c>
      <c r="B30">
        <v>13</v>
      </c>
      <c r="C30">
        <v>0</v>
      </c>
      <c r="D30">
        <f t="shared" si="12"/>
        <v>122</v>
      </c>
      <c r="E30">
        <f t="shared" si="13"/>
        <v>73</v>
      </c>
      <c r="F30">
        <f t="shared" si="9"/>
        <v>0</v>
      </c>
      <c r="G30">
        <f t="shared" si="9"/>
        <v>49</v>
      </c>
      <c r="H30">
        <f>$L$3*(1-4/7)</f>
        <v>9.8571428571428577</v>
      </c>
      <c r="I30">
        <f t="shared" si="10"/>
        <v>39.142857142857139</v>
      </c>
      <c r="J30">
        <f t="shared" si="11"/>
        <v>49</v>
      </c>
      <c r="L30">
        <v>122</v>
      </c>
    </row>
    <row r="34" spans="1:12">
      <c r="A34" t="s">
        <v>22</v>
      </c>
    </row>
    <row r="35" spans="1:12">
      <c r="A35" s="1" t="s">
        <v>1</v>
      </c>
      <c r="B35" s="4" t="s">
        <v>23</v>
      </c>
      <c r="C35" s="1" t="s">
        <v>3</v>
      </c>
      <c r="D35" s="1" t="s">
        <v>4</v>
      </c>
      <c r="E35" s="1" t="s">
        <v>5</v>
      </c>
      <c r="F35" s="1" t="s">
        <v>6</v>
      </c>
      <c r="G35" s="1" t="s">
        <v>7</v>
      </c>
      <c r="H35" s="1" t="s">
        <v>8</v>
      </c>
      <c r="I35" s="1" t="s">
        <v>9</v>
      </c>
      <c r="J35" s="1" t="s">
        <v>10</v>
      </c>
      <c r="L35" s="2" t="s">
        <v>11</v>
      </c>
    </row>
    <row r="36" spans="1:12">
      <c r="A36" t="s">
        <v>12</v>
      </c>
      <c r="B36">
        <v>4</v>
      </c>
      <c r="C36">
        <v>4</v>
      </c>
      <c r="D36">
        <f>B36</f>
        <v>4</v>
      </c>
      <c r="E36">
        <f>C36</f>
        <v>4</v>
      </c>
      <c r="F36">
        <f>$L$36-D36</f>
        <v>23</v>
      </c>
      <c r="G36">
        <f>$L$36-E36</f>
        <v>23</v>
      </c>
      <c r="H36">
        <f>$L$3*(1-1/7)</f>
        <v>19.714285714285715</v>
      </c>
      <c r="I36">
        <f t="shared" ref="I36:I38" si="14">G36-H36</f>
        <v>3.2857142857142847</v>
      </c>
      <c r="J36">
        <f t="shared" ref="J36:J38" si="15">G36-F36</f>
        <v>0</v>
      </c>
      <c r="L36">
        <v>27</v>
      </c>
    </row>
    <row r="37" spans="1:12">
      <c r="A37" t="s">
        <v>13</v>
      </c>
      <c r="B37">
        <v>6</v>
      </c>
      <c r="C37">
        <v>6</v>
      </c>
      <c r="D37">
        <f t="shared" ref="D37:D38" si="16">D36+B37</f>
        <v>10</v>
      </c>
      <c r="E37">
        <f t="shared" ref="E37:E38" si="17">E36+C37</f>
        <v>10</v>
      </c>
      <c r="F37">
        <f>$L$37-D37</f>
        <v>21</v>
      </c>
      <c r="G37">
        <f>$L$37-E37</f>
        <v>21</v>
      </c>
      <c r="H37">
        <f>$L$3*(1-2/7)</f>
        <v>16.428571428571431</v>
      </c>
      <c r="I37">
        <f t="shared" si="14"/>
        <v>4.5714285714285694</v>
      </c>
      <c r="J37">
        <f t="shared" si="15"/>
        <v>0</v>
      </c>
      <c r="L37">
        <v>31</v>
      </c>
    </row>
    <row r="38" spans="1:12">
      <c r="A38" t="s">
        <v>14</v>
      </c>
      <c r="B38">
        <v>20</v>
      </c>
      <c r="C38">
        <v>20</v>
      </c>
      <c r="D38">
        <f t="shared" si="16"/>
        <v>30</v>
      </c>
      <c r="E38">
        <f t="shared" si="17"/>
        <v>30</v>
      </c>
      <c r="F38">
        <f>$L$38-D38</f>
        <v>0</v>
      </c>
      <c r="G38">
        <f>$L$38-E38</f>
        <v>0</v>
      </c>
      <c r="H38">
        <f>$L$3*(1-3/7)</f>
        <v>13.142857142857142</v>
      </c>
      <c r="I38">
        <f t="shared" si="14"/>
        <v>-13.142857142857142</v>
      </c>
      <c r="J38">
        <f t="shared" si="15"/>
        <v>0</v>
      </c>
      <c r="L38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"/>
  <sheetViews>
    <sheetView tabSelected="1" topLeftCell="E1" zoomScaleNormal="100" workbookViewId="0">
      <selection activeCell="H21" sqref="H21"/>
    </sheetView>
  </sheetViews>
  <sheetFormatPr defaultRowHeight="15"/>
  <sheetData>
    <row r="1" spans="1:4" ht="18.75">
      <c r="A1" s="3" t="s">
        <v>24</v>
      </c>
    </row>
    <row r="3" spans="1:4">
      <c r="D3" t="s">
        <v>25</v>
      </c>
    </row>
    <row r="4" spans="1:4">
      <c r="D4" t="s">
        <v>26</v>
      </c>
    </row>
    <row r="5" spans="1:4">
      <c r="D5" t="s">
        <v>27</v>
      </c>
    </row>
    <row r="9" spans="1:4" ht="14.45" customHeight="1"/>
    <row r="10" spans="1:4" ht="14.45" customHeight="1"/>
    <row r="26" ht="14.45" customHeight="1"/>
    <row r="27" ht="14.45" customHeight="1"/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2026-02-12T19:12:58Z</dcterms:created>
  <dcterms:modified xsi:type="dcterms:W3CDTF">2026-02-23T19:58:07Z</dcterms:modified>
  <cp:category/>
  <cp:contentStatus/>
</cp:coreProperties>
</file>