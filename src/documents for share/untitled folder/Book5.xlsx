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bcorp-my.sharepoint.com/personal/azimovm_fnb-corp_com/Documents/Desktop/"/>
    </mc:Choice>
  </mc:AlternateContent>
  <xr:revisionPtr revIDLastSave="0" documentId="8_{E95CA300-3700-4D51-9B52-DC2FDBBC7F11}" xr6:coauthVersionLast="47" xr6:coauthVersionMax="47" xr10:uidLastSave="{00000000-0000-0000-0000-000000000000}"/>
  <bookViews>
    <workbookView xWindow="-7668" yWindow="-17388" windowWidth="30936" windowHeight="16776" activeTab="1" xr2:uid="{C3BD169A-688D-4B8A-99AE-5D333CB166A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G16" i="2"/>
  <c r="F16" i="2"/>
  <c r="E16" i="2"/>
  <c r="H15" i="2"/>
  <c r="H14" i="2"/>
  <c r="H13" i="2"/>
  <c r="H12" i="2"/>
  <c r="C16" i="2"/>
  <c r="B16" i="2"/>
  <c r="P5" i="2"/>
  <c r="O5" i="2"/>
  <c r="P4" i="2"/>
  <c r="I6" i="2" s="1"/>
  <c r="O4" i="2"/>
  <c r="P3" i="2"/>
  <c r="O3" i="2"/>
  <c r="O5" i="1"/>
  <c r="O4" i="1"/>
  <c r="O3" i="1"/>
  <c r="I7" i="1"/>
  <c r="I6" i="1"/>
  <c r="I5" i="1"/>
  <c r="I8" i="1" s="1"/>
  <c r="P5" i="1"/>
  <c r="P4" i="1"/>
  <c r="P3" i="1"/>
  <c r="G7" i="1"/>
  <c r="G6" i="1"/>
  <c r="G5" i="1"/>
  <c r="I5" i="2" l="1"/>
  <c r="H7" i="2"/>
  <c r="I7" i="2"/>
  <c r="H5" i="2"/>
  <c r="H6" i="2"/>
  <c r="H6" i="1"/>
  <c r="H7" i="1"/>
  <c r="H5" i="1"/>
  <c r="I8" i="2" l="1"/>
  <c r="H8" i="2"/>
  <c r="H8" i="1"/>
</calcChain>
</file>

<file path=xl/sharedStrings.xml><?xml version="1.0" encoding="utf-8"?>
<sst xmlns="http://schemas.openxmlformats.org/spreadsheetml/2006/main" count="58" uniqueCount="30">
  <si>
    <t>total</t>
  </si>
  <si>
    <t>Automated</t>
  </si>
  <si>
    <t>66 hrs</t>
  </si>
  <si>
    <t>Manual time</t>
  </si>
  <si>
    <t>Automation Time</t>
  </si>
  <si>
    <t>Simple</t>
  </si>
  <si>
    <t>Medium</t>
  </si>
  <si>
    <t>Complex</t>
  </si>
  <si>
    <t>5-10 steps</t>
  </si>
  <si>
    <t>11-20 Steps</t>
  </si>
  <si>
    <t>20+ Steps</t>
  </si>
  <si>
    <t>Manual</t>
  </si>
  <si>
    <t>Complexity</t>
  </si>
  <si>
    <t># of tests</t>
  </si>
  <si>
    <t>Automated time</t>
  </si>
  <si>
    <t># of Steps</t>
  </si>
  <si>
    <t>Project Name</t>
  </si>
  <si>
    <t>Automation %</t>
  </si>
  <si>
    <t>Total Manuel Cases Time (All Cases)</t>
  </si>
  <si>
    <t>Manuel Time Automated Cases (hrs)</t>
  </si>
  <si>
    <t>Automated Time</t>
  </si>
  <si>
    <t>Total Saved with Automation (hrs)</t>
  </si>
  <si>
    <t>eCA</t>
  </si>
  <si>
    <t>ARGO Connects</t>
  </si>
  <si>
    <t>ARGO Teller Legacy</t>
  </si>
  <si>
    <t>Doc Center</t>
  </si>
  <si>
    <t>Total</t>
  </si>
  <si>
    <t>Total Manual Test Cases</t>
  </si>
  <si>
    <t>Total Automated</t>
  </si>
  <si>
    <t>AVG 85.2%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</si>
</sst>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10" fontId="0" fillId="0" borderId="1" xfId="0" applyNumberFormat="1" applyBorder="1"/>
    <xf numFmtId="1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3E8C-B46F-4C39-AE44-764BCB719ECF}">
  <dimension ref="A1:P8"/>
  <sheetViews>
    <sheetView workbookViewId="0">
      <selection activeCell="B9" sqref="A1:XFD1048576"/>
    </sheetView>
  </sheetViews>
  <sheetFormatPr defaultRowHeight="15" x14ac:dyDescent="0.25"/>
  <cols>
    <col min="2" max="2" width="19.5703125" customWidth="1"/>
    <col min="3" max="3" width="17.140625" customWidth="1"/>
    <col min="4" max="4" width="11.5703125" bestFit="1" customWidth="1"/>
    <col min="6" max="6" width="17.42578125" customWidth="1"/>
    <col min="7" max="7" width="10.28515625" customWidth="1"/>
    <col min="8" max="8" width="12.140625" customWidth="1"/>
    <col min="9" max="9" width="14" customWidth="1"/>
    <col min="13" max="13" width="13.28515625" customWidth="1"/>
    <col min="14" max="14" width="13.140625" customWidth="1"/>
    <col min="16" max="16" width="14.42578125" customWidth="1"/>
  </cols>
  <sheetData>
    <row r="1" spans="1:16" x14ac:dyDescent="0.25">
      <c r="A1" s="3" t="s">
        <v>0</v>
      </c>
      <c r="B1" s="3" t="s">
        <v>1</v>
      </c>
      <c r="C1" s="3" t="s">
        <v>4</v>
      </c>
      <c r="D1" s="3" t="s">
        <v>3</v>
      </c>
    </row>
    <row r="2" spans="1:16" x14ac:dyDescent="0.25">
      <c r="A2" s="3">
        <v>3443</v>
      </c>
      <c r="B2" s="3">
        <v>2895</v>
      </c>
      <c r="C2" s="3" t="s">
        <v>2</v>
      </c>
      <c r="D2" s="3">
        <v>333.8</v>
      </c>
      <c r="M2" s="5" t="s">
        <v>12</v>
      </c>
      <c r="N2" s="5" t="s">
        <v>15</v>
      </c>
      <c r="O2" s="5" t="s">
        <v>11</v>
      </c>
      <c r="P2" s="5" t="s">
        <v>1</v>
      </c>
    </row>
    <row r="3" spans="1:16" x14ac:dyDescent="0.25">
      <c r="M3" s="3" t="s">
        <v>5</v>
      </c>
      <c r="N3" s="3" t="s">
        <v>8</v>
      </c>
      <c r="O3" s="3">
        <f>10/60</f>
        <v>0.16666666666666666</v>
      </c>
      <c r="P3" s="3">
        <f>3/60</f>
        <v>0.05</v>
      </c>
    </row>
    <row r="4" spans="1:16" x14ac:dyDescent="0.25">
      <c r="F4" s="6" t="s">
        <v>12</v>
      </c>
      <c r="G4" s="6" t="s">
        <v>13</v>
      </c>
      <c r="H4" s="6" t="s">
        <v>3</v>
      </c>
      <c r="I4" s="6" t="s">
        <v>14</v>
      </c>
      <c r="M4" s="3" t="s">
        <v>6</v>
      </c>
      <c r="N4" s="3" t="s">
        <v>9</v>
      </c>
      <c r="O4" s="3">
        <f>20/60</f>
        <v>0.33333333333333331</v>
      </c>
      <c r="P4" s="3">
        <f>5/60</f>
        <v>8.3333333333333329E-2</v>
      </c>
    </row>
    <row r="5" spans="1:16" x14ac:dyDescent="0.25">
      <c r="F5" s="3" t="s">
        <v>5</v>
      </c>
      <c r="G5" s="4">
        <f>0.3*B2</f>
        <v>868.5</v>
      </c>
      <c r="H5" s="3">
        <f>O3*G5</f>
        <v>144.75</v>
      </c>
      <c r="I5" s="3">
        <f>P3*G5</f>
        <v>43.425000000000004</v>
      </c>
      <c r="M5" s="3" t="s">
        <v>7</v>
      </c>
      <c r="N5" s="3" t="s">
        <v>10</v>
      </c>
      <c r="O5" s="3">
        <f>30/60</f>
        <v>0.5</v>
      </c>
      <c r="P5" s="3">
        <f>10/60</f>
        <v>0.16666666666666666</v>
      </c>
    </row>
    <row r="6" spans="1:16" x14ac:dyDescent="0.25">
      <c r="F6" s="3" t="s">
        <v>6</v>
      </c>
      <c r="G6" s="4">
        <f>0.4*B2</f>
        <v>1158</v>
      </c>
      <c r="H6" s="3">
        <f>O4*G6</f>
        <v>386</v>
      </c>
      <c r="I6" s="3">
        <f>P4*G6</f>
        <v>96.5</v>
      </c>
      <c r="N6" s="2"/>
    </row>
    <row r="7" spans="1:16" x14ac:dyDescent="0.25">
      <c r="F7" s="3" t="s">
        <v>7</v>
      </c>
      <c r="G7" s="4">
        <f>0.3*B2</f>
        <v>868.5</v>
      </c>
      <c r="H7" s="3">
        <f>O5*G7</f>
        <v>434.25</v>
      </c>
      <c r="I7" s="3">
        <f>P5*G7</f>
        <v>144.75</v>
      </c>
      <c r="N7" s="2"/>
    </row>
    <row r="8" spans="1:16" x14ac:dyDescent="0.25">
      <c r="H8" s="5">
        <f>SUM(H5:H7)</f>
        <v>965</v>
      </c>
      <c r="I8" s="5">
        <f>SUM(I5:I7)</f>
        <v>284.67500000000001</v>
      </c>
      <c r="N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4717-CB37-42C1-8A77-EB956D3E028B}">
  <dimension ref="A1:P16"/>
  <sheetViews>
    <sheetView tabSelected="1" workbookViewId="0">
      <selection activeCell="H29" sqref="H29"/>
    </sheetView>
  </sheetViews>
  <sheetFormatPr defaultRowHeight="15" x14ac:dyDescent="0.25"/>
  <cols>
    <col min="1" max="1" width="17.85546875" bestFit="1" customWidth="1"/>
    <col min="2" max="2" width="19.5703125" customWidth="1"/>
    <col min="3" max="3" width="17.140625" customWidth="1"/>
    <col min="4" max="4" width="13.42578125" bestFit="1" customWidth="1"/>
    <col min="5" max="5" width="28.5703125" bestFit="1" customWidth="1"/>
    <col min="6" max="6" width="33.42578125" bestFit="1" customWidth="1"/>
    <col min="7" max="7" width="15.42578125" bestFit="1" customWidth="1"/>
    <col min="8" max="8" width="31.28515625" bestFit="1" customWidth="1"/>
    <col min="9" max="9" width="14" customWidth="1"/>
    <col min="13" max="13" width="13.28515625" customWidth="1"/>
    <col min="14" max="14" width="13.140625" customWidth="1"/>
    <col min="16" max="16" width="14.42578125" customWidth="1"/>
  </cols>
  <sheetData>
    <row r="1" spans="1:16" x14ac:dyDescent="0.25">
      <c r="A1" s="3" t="s">
        <v>0</v>
      </c>
      <c r="B1" s="3" t="s">
        <v>1</v>
      </c>
      <c r="C1" s="3" t="s">
        <v>4</v>
      </c>
      <c r="D1" s="3" t="s">
        <v>3</v>
      </c>
    </row>
    <row r="2" spans="1:16" x14ac:dyDescent="0.25">
      <c r="A2" s="3">
        <v>3443</v>
      </c>
      <c r="B2" s="3">
        <v>2895</v>
      </c>
      <c r="C2" s="3" t="s">
        <v>2</v>
      </c>
      <c r="D2" s="3">
        <v>333.8</v>
      </c>
      <c r="M2" s="5" t="s">
        <v>12</v>
      </c>
      <c r="N2" s="5" t="s">
        <v>15</v>
      </c>
      <c r="O2" s="5" t="s">
        <v>11</v>
      </c>
      <c r="P2" s="5" t="s">
        <v>1</v>
      </c>
    </row>
    <row r="3" spans="1:16" x14ac:dyDescent="0.25">
      <c r="M3" s="3" t="s">
        <v>5</v>
      </c>
      <c r="N3" s="3" t="s">
        <v>8</v>
      </c>
      <c r="O3" s="3">
        <f>10/60</f>
        <v>0.16666666666666666</v>
      </c>
      <c r="P3" s="3">
        <f>3/60</f>
        <v>0.05</v>
      </c>
    </row>
    <row r="4" spans="1:16" x14ac:dyDescent="0.25">
      <c r="F4" s="6" t="s">
        <v>12</v>
      </c>
      <c r="G4" s="6" t="s">
        <v>13</v>
      </c>
      <c r="H4" s="6" t="s">
        <v>3</v>
      </c>
      <c r="I4" s="6" t="s">
        <v>14</v>
      </c>
      <c r="M4" s="3" t="s">
        <v>6</v>
      </c>
      <c r="N4" s="3" t="s">
        <v>9</v>
      </c>
      <c r="O4" s="3">
        <f>20/60</f>
        <v>0.33333333333333331</v>
      </c>
      <c r="P4" s="3">
        <f>5/60</f>
        <v>8.3333333333333329E-2</v>
      </c>
    </row>
    <row r="5" spans="1:16" x14ac:dyDescent="0.25">
      <c r="F5" s="3" t="s">
        <v>5</v>
      </c>
      <c r="G5" s="4">
        <v>30</v>
      </c>
      <c r="H5" s="3">
        <f>O3*G5</f>
        <v>5</v>
      </c>
      <c r="I5" s="3">
        <f>P3*G5</f>
        <v>1.5</v>
      </c>
      <c r="M5" s="3" t="s">
        <v>7</v>
      </c>
      <c r="N5" s="3" t="s">
        <v>10</v>
      </c>
      <c r="O5" s="3">
        <f>30/60</f>
        <v>0.5</v>
      </c>
      <c r="P5" s="3">
        <f>10/60</f>
        <v>0.16666666666666666</v>
      </c>
    </row>
    <row r="6" spans="1:16" x14ac:dyDescent="0.25">
      <c r="F6" s="3" t="s">
        <v>6</v>
      </c>
      <c r="G6" s="4">
        <v>30</v>
      </c>
      <c r="H6" s="3">
        <f>O4*G6</f>
        <v>10</v>
      </c>
      <c r="I6" s="3">
        <f>P4*G6</f>
        <v>2.5</v>
      </c>
      <c r="N6" s="2"/>
    </row>
    <row r="7" spans="1:16" x14ac:dyDescent="0.25">
      <c r="F7" s="3" t="s">
        <v>7</v>
      </c>
      <c r="G7" s="4">
        <v>33</v>
      </c>
      <c r="H7" s="3">
        <f>O5*G7</f>
        <v>16.5</v>
      </c>
      <c r="I7" s="3">
        <f>P5*G7</f>
        <v>5.5</v>
      </c>
      <c r="N7" s="2"/>
    </row>
    <row r="8" spans="1:16" x14ac:dyDescent="0.25">
      <c r="H8" s="5">
        <f>SUM(H5:H7)</f>
        <v>31.5</v>
      </c>
      <c r="I8" s="5">
        <f>SUM(I5:I7)</f>
        <v>9.5</v>
      </c>
      <c r="N8" s="1"/>
    </row>
    <row r="11" spans="1:16" x14ac:dyDescent="0.25">
      <c r="A11" s="3" t="s">
        <v>16</v>
      </c>
      <c r="B11" s="3" t="s">
        <v>27</v>
      </c>
      <c r="C11" s="3" t="s">
        <v>28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21</v>
      </c>
    </row>
    <row r="12" spans="1:16" x14ac:dyDescent="0.25">
      <c r="A12" s="3" t="s">
        <v>22</v>
      </c>
      <c r="B12" s="3">
        <v>3443</v>
      </c>
      <c r="C12" s="3">
        <v>2895</v>
      </c>
      <c r="D12" s="7">
        <v>0.84099999999999997</v>
      </c>
      <c r="E12" s="3">
        <v>1148</v>
      </c>
      <c r="F12" s="3">
        <v>965</v>
      </c>
      <c r="G12" s="3">
        <v>284.7</v>
      </c>
      <c r="H12" s="3">
        <f>F12-G12</f>
        <v>680.3</v>
      </c>
    </row>
    <row r="13" spans="1:16" x14ac:dyDescent="0.25">
      <c r="A13" s="3" t="s">
        <v>23</v>
      </c>
      <c r="B13" s="3">
        <v>5501</v>
      </c>
      <c r="C13" s="3">
        <v>4676</v>
      </c>
      <c r="D13" s="7">
        <v>0.85</v>
      </c>
      <c r="E13" s="3">
        <v>1610</v>
      </c>
      <c r="F13" s="3">
        <v>1141</v>
      </c>
      <c r="G13" s="3">
        <v>335.5</v>
      </c>
      <c r="H13" s="3">
        <f>F13-G13</f>
        <v>805.5</v>
      </c>
    </row>
    <row r="14" spans="1:16" x14ac:dyDescent="0.25">
      <c r="A14" s="3" t="s">
        <v>24</v>
      </c>
      <c r="B14" s="3">
        <v>357</v>
      </c>
      <c r="C14" s="3">
        <v>347</v>
      </c>
      <c r="D14" s="7">
        <v>0.92200000000000004</v>
      </c>
      <c r="E14" s="3">
        <v>110</v>
      </c>
      <c r="F14" s="3">
        <v>108</v>
      </c>
      <c r="G14" s="3">
        <v>32.4</v>
      </c>
      <c r="H14" s="3">
        <f>F14-G14</f>
        <v>75.599999999999994</v>
      </c>
    </row>
    <row r="15" spans="1:16" x14ac:dyDescent="0.25">
      <c r="A15" s="3" t="s">
        <v>25</v>
      </c>
      <c r="B15" s="3">
        <v>97</v>
      </c>
      <c r="C15" s="3">
        <v>93</v>
      </c>
      <c r="D15" s="7">
        <v>0.95899999999999996</v>
      </c>
      <c r="E15" s="3">
        <v>33.5</v>
      </c>
      <c r="F15" s="3">
        <v>31.5</v>
      </c>
      <c r="G15" s="3">
        <v>7.5</v>
      </c>
      <c r="H15" s="3">
        <f>F15-G15</f>
        <v>24</v>
      </c>
    </row>
    <row r="16" spans="1:16" x14ac:dyDescent="0.25">
      <c r="A16" s="3" t="s">
        <v>26</v>
      </c>
      <c r="B16" s="3">
        <f>B12+B13+B14+B15</f>
        <v>9398</v>
      </c>
      <c r="C16" s="3">
        <f>C12+C13+C14+C15</f>
        <v>8011</v>
      </c>
      <c r="D16" s="8" t="s">
        <v>29</v>
      </c>
      <c r="E16" s="3">
        <f>E12+E13+E14+E15</f>
        <v>2901.5</v>
      </c>
      <c r="F16" s="3">
        <f>F12+F13+F14+F15</f>
        <v>2245.5</v>
      </c>
      <c r="G16" s="3">
        <f>G12+G13+G14+G15</f>
        <v>660.1</v>
      </c>
      <c r="H16" s="3">
        <f>H12+H13+H14+H15</f>
        <v>1585.3999999999999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FNBPA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Shahi, Rahul</dc:creator>
  <cp:lastModifiedBy>Azimov, Murodjon</cp:lastModifiedBy>
  <dcterms:created xsi:type="dcterms:W3CDTF">2026-02-18T17:51:39Z</dcterms:created>
  <dcterms:modified xsi:type="dcterms:W3CDTF">2026-02-18T19:45:20Z</dcterms:modified>
</cp:coreProperties>
</file>